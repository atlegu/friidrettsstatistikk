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s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A5" authorId="0">
      <text>
        <r>
          <rPr>
            <sz val="10"/>
            <rFont val="Arial"/>
            <family val="2"/>
          </rPr>
          <t xml:space="preserve">Prismodellen aug. 2026: kostnad 840 000–1 020 000 (1 080–1 490 timer).</t>
        </r>
      </text>
    </comment>
    <comment ref="A8" authorId="0">
      <text>
        <r>
          <rPr>
            <sz val="10"/>
            <rFont val="Arial"/>
            <family val="2"/>
          </rPr>
          <t xml:space="preserve">Infrastruktur i prismodellen: 63 000–135 000 per år.</t>
        </r>
      </text>
    </comment>
    <comment ref="A9" authorId="0">
      <text>
        <r>
          <rPr>
            <sz val="10"/>
            <rFont val="Arial"/>
            <family val="2"/>
          </rPr>
          <t xml:space="preserve">Ca. 250 timer forvaltning i prismodellen: 150 000–200 000.</t>
        </r>
      </text>
    </comment>
    <comment ref="A15" authorId="0">
      <text>
        <r>
          <rPr>
            <sz val="10"/>
            <rFont val="Arial"/>
            <family val="2"/>
          </rPr>
          <t xml:space="preserve">Den delen som kan sammenlignes med en ren statistikklisens.</t>
        </r>
      </text>
    </comment>
    <comment ref="A36" authorId="0">
      <text>
        <r>
          <rPr>
            <sz val="10"/>
            <rFont val="Arial"/>
            <family val="2"/>
          </rPr>
          <t xml:space="preserve">Danmark: «Statistik» 128 000–177 000 DKK/år 2020–22 (ca. 200 000–275 000 NOK). Se 10_KONKURRENT_PRISER.md.</t>
        </r>
      </text>
    </comment>
  </commentList>
</comments>
</file>

<file path=xl/sharedStrings.xml><?xml version="1.0" encoding="utf-8"?>
<sst xmlns="http://schemas.openxmlformats.org/spreadsheetml/2006/main" count="39" uniqueCount="35">
  <si>
    <t xml:space="preserve">Prisanslag til NFIF · statistikkplattform</t>
  </si>
  <si>
    <t xml:space="preserve">Gule celler med blå tekst kan endres. Resten regnes ut. Alle beløp eks. mva.</t>
  </si>
  <si>
    <t xml:space="preserve">1. Etablering frem til operativ løsning 01.01.2027</t>
  </si>
  <si>
    <t xml:space="preserve">Etablering, fastpris</t>
  </si>
  <si>
    <t xml:space="preserve">2. Årlig drift og forvaltning, fastpris</t>
  </si>
  <si>
    <t xml:space="preserve">Drift i EU/EØS, overvåking, sikkerhetskopi</t>
  </si>
  <si>
    <t xml:space="preserve">Daglig import, kvalitetskontroll og support</t>
  </si>
  <si>
    <t xml:space="preserve">Videreutvikling som NFIF prioriterer</t>
  </si>
  <si>
    <t xml:space="preserve">   Antall timer i potten</t>
  </si>
  <si>
    <t xml:space="preserve">   Tilsvarer timepris</t>
  </si>
  <si>
    <t xml:space="preserve">Analyse: to mesterskapspakker og én årsrapport</t>
  </si>
  <si>
    <t xml:space="preserve">Sum årlig drift</t>
  </si>
  <si>
    <t xml:space="preserve">   Herav plattform, uten utvikling og analyse</t>
  </si>
  <si>
    <t xml:space="preserve">3. Utvikling utenfor fastprisen</t>
  </si>
  <si>
    <t xml:space="preserve">Lav</t>
  </si>
  <si>
    <t xml:space="preserve">Høy</t>
  </si>
  <si>
    <t xml:space="preserve">Integrasjon mot eksternt system, per system</t>
  </si>
  <si>
    <t xml:space="preserve">Løp utenfor bane, full leveranse</t>
  </si>
  <si>
    <t xml:space="preserve">Aktivitetsmodul og dashbord for forbund og kretser</t>
  </si>
  <si>
    <t xml:space="preserve">Historisk utvidelse 2001–2012, inkl. kartlegging</t>
  </si>
  <si>
    <t xml:space="preserve">Timepris, øvrig utvikling</t>
  </si>
  <si>
    <t xml:space="preserve">Timepris, analyse og utredning</t>
  </si>
  <si>
    <t xml:space="preserve">4. Samlet over fem år</t>
  </si>
  <si>
    <t xml:space="preserve">Antall driftsår</t>
  </si>
  <si>
    <t xml:space="preserve">Integrasjoner i realistisk scenario</t>
  </si>
  <si>
    <t xml:space="preserve">Integrasjoner i fullt scenario</t>
  </si>
  <si>
    <t xml:space="preserve">A. Etablering og drift</t>
  </si>
  <si>
    <t xml:space="preserve">B. + løp utenfor bane, integrasjoner og aktivitetsmodul</t>
  </si>
  <si>
    <t xml:space="preserve">C. Alle postene i punkt 3</t>
  </si>
  <si>
    <t xml:space="preserve">Før KPI-regulering fra år fire.</t>
  </si>
  <si>
    <t xml:space="preserve">5. Til sammenligning (skal ikke sendes)</t>
  </si>
  <si>
    <t xml:space="preserve">Tilastopaja-nivå per år, anslag</t>
  </si>
  <si>
    <t xml:space="preserve">Tilastopaja-nivå over fem år</t>
  </si>
  <si>
    <t xml:space="preserve">Vår plattformdel per år (punkt 2, herav plattform)</t>
  </si>
  <si>
    <t xml:space="preserve">Vår fastpris over fem år (scenario 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</si>
</sst>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kr&quot;;\-#,##0&quot; kr&quot;;\-"/>
    <numFmt numFmtId="166" formatCode="#,##0&quot; t&quot;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192E5D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92E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2"/>
      <c r="C4" s="2"/>
    </row>
    <row r="5" customFormat="false" ht="15" hidden="false" customHeight="false" outlineLevel="0" collapsed="false">
      <c r="A5" s="5" t="s">
        <v>3</v>
      </c>
      <c r="B5" s="6" t="n">
        <v>950000</v>
      </c>
      <c r="C5" s="2"/>
    </row>
    <row r="6" customFormat="false" ht="15" hidden="false" customHeight="false" outlineLevel="0" collapsed="false">
      <c r="A6" s="2"/>
      <c r="B6" s="2"/>
      <c r="C6" s="2"/>
    </row>
    <row r="7" customFormat="false" ht="15" hidden="false" customHeight="false" outlineLevel="0" collapsed="false">
      <c r="A7" s="4" t="s">
        <v>4</v>
      </c>
      <c r="B7" s="2"/>
      <c r="C7" s="2"/>
    </row>
    <row r="8" customFormat="false" ht="15" hidden="false" customHeight="false" outlineLevel="0" collapsed="false">
      <c r="A8" s="5" t="s">
        <v>5</v>
      </c>
      <c r="B8" s="6" t="n">
        <v>90000</v>
      </c>
      <c r="C8" s="2"/>
    </row>
    <row r="9" customFormat="false" ht="15" hidden="false" customHeight="false" outlineLevel="0" collapsed="false">
      <c r="A9" s="5" t="s">
        <v>6</v>
      </c>
      <c r="B9" s="6" t="n">
        <v>170000</v>
      </c>
      <c r="C9" s="2"/>
    </row>
    <row r="10" customFormat="false" ht="15" hidden="false" customHeight="false" outlineLevel="0" collapsed="false">
      <c r="A10" s="5" t="s">
        <v>7</v>
      </c>
      <c r="B10" s="6" t="n">
        <v>140000</v>
      </c>
      <c r="C10" s="2"/>
    </row>
    <row r="11" customFormat="false" ht="15" hidden="false" customHeight="false" outlineLevel="0" collapsed="false">
      <c r="A11" s="5" t="s">
        <v>8</v>
      </c>
      <c r="B11" s="7" t="n">
        <v>175</v>
      </c>
      <c r="C11" s="2"/>
    </row>
    <row r="12" customFormat="false" ht="15" hidden="false" customHeight="false" outlineLevel="0" collapsed="false">
      <c r="A12" s="5" t="s">
        <v>9</v>
      </c>
      <c r="B12" s="8" t="n">
        <f aca="false">IF(B11=0,0,B10/B11)</f>
        <v>800</v>
      </c>
      <c r="C12" s="2"/>
    </row>
    <row r="13" customFormat="false" ht="15" hidden="false" customHeight="false" outlineLevel="0" collapsed="false">
      <c r="A13" s="5" t="s">
        <v>10</v>
      </c>
      <c r="B13" s="6" t="n">
        <v>80000</v>
      </c>
      <c r="C13" s="2"/>
    </row>
    <row r="14" customFormat="false" ht="15" hidden="false" customHeight="false" outlineLevel="0" collapsed="false">
      <c r="A14" s="9" t="s">
        <v>11</v>
      </c>
      <c r="B14" s="10" t="n">
        <f aca="false">SUM(B8:B10)+B13</f>
        <v>480000</v>
      </c>
      <c r="C14" s="2"/>
    </row>
    <row r="15" customFormat="false" ht="15" hidden="false" customHeight="false" outlineLevel="0" collapsed="false">
      <c r="A15" s="5" t="s">
        <v>12</v>
      </c>
      <c r="B15" s="8" t="n">
        <f aca="false">B8+B9</f>
        <v>260000</v>
      </c>
      <c r="C15" s="2"/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4" t="s">
        <v>13</v>
      </c>
      <c r="B17" s="11" t="s">
        <v>14</v>
      </c>
      <c r="C17" s="11" t="s">
        <v>15</v>
      </c>
    </row>
    <row r="18" customFormat="false" ht="15" hidden="false" customHeight="false" outlineLevel="0" collapsed="false">
      <c r="A18" s="5" t="s">
        <v>16</v>
      </c>
      <c r="B18" s="6" t="n">
        <v>90000</v>
      </c>
      <c r="C18" s="6" t="n">
        <v>150000</v>
      </c>
    </row>
    <row r="19" customFormat="false" ht="15" hidden="false" customHeight="false" outlineLevel="0" collapsed="false">
      <c r="A19" s="5" t="s">
        <v>17</v>
      </c>
      <c r="B19" s="6" t="n">
        <v>450000</v>
      </c>
      <c r="C19" s="6" t="n">
        <v>600000</v>
      </c>
    </row>
    <row r="20" customFormat="false" ht="15" hidden="false" customHeight="false" outlineLevel="0" collapsed="false">
      <c r="A20" s="5" t="s">
        <v>18</v>
      </c>
      <c r="B20" s="6" t="n">
        <v>200000</v>
      </c>
      <c r="C20" s="6" t="n">
        <v>300000</v>
      </c>
    </row>
    <row r="21" customFormat="false" ht="15" hidden="false" customHeight="false" outlineLevel="0" collapsed="false">
      <c r="A21" s="5" t="s">
        <v>19</v>
      </c>
      <c r="B21" s="6" t="n">
        <v>200000</v>
      </c>
      <c r="C21" s="6" t="n">
        <v>300000</v>
      </c>
    </row>
    <row r="22" customFormat="false" ht="15" hidden="false" customHeight="false" outlineLevel="0" collapsed="false">
      <c r="A22" s="5" t="s">
        <v>20</v>
      </c>
      <c r="B22" s="6" t="n">
        <v>950</v>
      </c>
      <c r="C22" s="2"/>
    </row>
    <row r="23" customFormat="false" ht="15" hidden="false" customHeight="false" outlineLevel="0" collapsed="false">
      <c r="A23" s="5" t="s">
        <v>21</v>
      </c>
      <c r="B23" s="6" t="n">
        <v>1100</v>
      </c>
      <c r="C23" s="2"/>
    </row>
    <row r="24" customFormat="false" ht="15" hidden="false" customHeight="false" outlineLevel="0" collapsed="false">
      <c r="A24" s="2"/>
      <c r="B24" s="2"/>
      <c r="C24" s="2"/>
    </row>
    <row r="25" customFormat="false" ht="15" hidden="false" customHeight="false" outlineLevel="0" collapsed="false">
      <c r="A25" s="4" t="s">
        <v>22</v>
      </c>
      <c r="B25" s="2"/>
      <c r="C25" s="2"/>
    </row>
    <row r="26" customFormat="false" ht="15" hidden="false" customHeight="false" outlineLevel="0" collapsed="false">
      <c r="A26" s="5" t="s">
        <v>23</v>
      </c>
      <c r="B26" s="12" t="n">
        <v>5</v>
      </c>
      <c r="C26" s="2"/>
    </row>
    <row r="27" customFormat="false" ht="15" hidden="false" customHeight="false" outlineLevel="0" collapsed="false">
      <c r="A27" s="5" t="s">
        <v>24</v>
      </c>
      <c r="B27" s="12" t="n">
        <v>2</v>
      </c>
      <c r="C27" s="2"/>
    </row>
    <row r="28" customFormat="false" ht="15" hidden="false" customHeight="false" outlineLevel="0" collapsed="false">
      <c r="A28" s="5" t="s">
        <v>25</v>
      </c>
      <c r="B28" s="12" t="n">
        <v>5</v>
      </c>
      <c r="C28" s="2"/>
    </row>
    <row r="29" customFormat="false" ht="15" hidden="false" customHeight="false" outlineLevel="0" collapsed="false">
      <c r="A29" s="2"/>
      <c r="B29" s="11" t="s">
        <v>14</v>
      </c>
      <c r="C29" s="11" t="s">
        <v>15</v>
      </c>
    </row>
    <row r="30" customFormat="false" ht="15" hidden="false" customHeight="false" outlineLevel="0" collapsed="false">
      <c r="A30" s="9" t="s">
        <v>26</v>
      </c>
      <c r="B30" s="13" t="n">
        <f aca="false">B5+B26*B14</f>
        <v>3350000</v>
      </c>
      <c r="C30" s="13" t="n">
        <f aca="false">B5+B26*B14</f>
        <v>3350000</v>
      </c>
    </row>
    <row r="31" customFormat="false" ht="15" hidden="false" customHeight="false" outlineLevel="0" collapsed="false">
      <c r="A31" s="9" t="s">
        <v>27</v>
      </c>
      <c r="B31" s="13" t="n">
        <f aca="false">B30+B19+B27*B18+B20</f>
        <v>4180000</v>
      </c>
      <c r="C31" s="13" t="n">
        <f aca="false">C30+C19+B27*C18+C20</f>
        <v>4550000</v>
      </c>
    </row>
    <row r="32" customFormat="false" ht="15" hidden="false" customHeight="false" outlineLevel="0" collapsed="false">
      <c r="A32" s="9" t="s">
        <v>28</v>
      </c>
      <c r="B32" s="13" t="n">
        <f aca="false">B30+B19+B28*B18+B20+B21</f>
        <v>4650000</v>
      </c>
      <c r="C32" s="13" t="n">
        <f aca="false">C30+C19+B28*C18+C20+C21</f>
        <v>5300000</v>
      </c>
    </row>
    <row r="33" customFormat="false" ht="15" hidden="false" customHeight="false" outlineLevel="0" collapsed="false">
      <c r="A33" s="3" t="s">
        <v>29</v>
      </c>
      <c r="B33" s="2"/>
      <c r="C33" s="2"/>
    </row>
    <row r="34" customFormat="false" ht="15" hidden="false" customHeight="false" outlineLevel="0" collapsed="false">
      <c r="A34" s="2"/>
      <c r="B34" s="2"/>
      <c r="C34" s="2"/>
    </row>
    <row r="35" customFormat="false" ht="15" hidden="false" customHeight="false" outlineLevel="0" collapsed="false">
      <c r="A35" s="4" t="s">
        <v>30</v>
      </c>
      <c r="B35" s="11" t="s">
        <v>14</v>
      </c>
      <c r="C35" s="11" t="s">
        <v>15</v>
      </c>
    </row>
    <row r="36" customFormat="false" ht="15" hidden="false" customHeight="false" outlineLevel="0" collapsed="false">
      <c r="A36" s="5" t="s">
        <v>31</v>
      </c>
      <c r="B36" s="6" t="n">
        <v>150000</v>
      </c>
      <c r="C36" s="6" t="n">
        <v>300000</v>
      </c>
    </row>
    <row r="37" customFormat="false" ht="15" hidden="false" customHeight="false" outlineLevel="0" collapsed="false">
      <c r="A37" s="5" t="s">
        <v>32</v>
      </c>
      <c r="B37" s="8" t="n">
        <f aca="false">B36*B26</f>
        <v>750000</v>
      </c>
      <c r="C37" s="8" t="n">
        <f aca="false">C36*B26</f>
        <v>1500000</v>
      </c>
    </row>
    <row r="38" customFormat="false" ht="15" hidden="false" customHeight="false" outlineLevel="0" collapsed="false">
      <c r="A38" s="5" t="s">
        <v>33</v>
      </c>
      <c r="B38" s="8" t="n">
        <f aca="false">B15</f>
        <v>260000</v>
      </c>
      <c r="C38" s="8" t="n">
        <f aca="false">B15</f>
        <v>260000</v>
      </c>
    </row>
    <row r="39" customFormat="false" ht="15" hidden="false" customHeight="false" outlineLevel="0" collapsed="false">
      <c r="A39" s="5" t="s">
        <v>34</v>
      </c>
      <c r="B39" s="8" t="n">
        <f aca="false">B30</f>
        <v>3350000</v>
      </c>
      <c r="C39" s="8" t="n">
        <f aca="false">C30</f>
        <v>3350000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2026-09-27T20:02:15Z</dcterms:created>
  <dc:creator>openpyxl</dc:creator>
  <dc:description/>
  <dc:language>nb-NO</dc:language>
  <cp:lastModifiedBy/>
  <dcterms:modified xsi:type="dcterms:W3CDTF">2026-09-27T20:02:15Z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