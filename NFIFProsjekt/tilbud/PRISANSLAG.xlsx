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s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A6" authorId="0">
      <text>
        <r>
          <rPr>
            <sz val="10"/>
            <rFont val="Arial"/>
            <family val="2"/>
          </rPr>
          <t xml:space="preserve">Verdien av det som er bygget: plattform, 1,4 mill. resultater, daglig import. Ditt valg.</t>
        </r>
      </text>
    </comment>
    <comment ref="A8" authorId="0">
      <text>
        <r>
          <rPr>
            <sz val="10"/>
            <rFont val="Arial"/>
            <family val="2"/>
          </rPr>
          <t xml:space="preserve">Gap-analysen: 80–120 timer inkl. rekordgodkjenning.</t>
        </r>
      </text>
    </comment>
    <comment ref="A9" authorId="0">
      <text>
        <r>
          <rPr>
            <sz val="10"/>
            <rFont val="Arial"/>
            <family val="2"/>
          </rPr>
          <t xml:space="preserve">Gap-analysen: 180–320 timer. Omfanget må avgrenses i avtalen.</t>
        </r>
      </text>
    </comment>
    <comment ref="A10" authorId="0">
      <text>
        <r>
          <rPr>
            <sz val="10"/>
            <rFont val="Arial"/>
            <family val="2"/>
          </rPr>
          <t xml:space="preserve">Gap-analysen: 80–120 timer.</t>
        </r>
      </text>
    </comment>
    <comment ref="A12" authorId="0">
      <text>
        <r>
          <rPr>
            <sz val="10"/>
            <rFont val="Arial"/>
            <family val="2"/>
          </rPr>
          <t xml:space="preserve">Gap-analysen: 120–160 timer.</t>
        </r>
      </text>
    </comment>
    <comment ref="A13" authorId="0">
      <text>
        <r>
          <rPr>
            <sz val="10"/>
            <rFont val="Arial"/>
            <family val="2"/>
          </rPr>
          <t xml:space="preserve">Gap-analysen: 120–160 timer.</t>
        </r>
      </text>
    </comment>
    <comment ref="A14" authorId="0">
      <text>
        <r>
          <rPr>
            <sz val="10"/>
            <rFont val="Arial"/>
            <family val="2"/>
          </rPr>
          <t xml:space="preserve">Gap-analysen: 60–90 timer.</t>
        </r>
      </text>
    </comment>
    <comment ref="A18" authorId="0">
      <text>
        <r>
          <rPr>
            <sz val="10"/>
            <rFont val="Arial"/>
            <family val="2"/>
          </rPr>
          <t xml:space="preserve">Infrastruktur i prismodellen: 63 000–135 000 per år.</t>
        </r>
      </text>
    </comment>
    <comment ref="A19" authorId="0">
      <text>
        <r>
          <rPr>
            <sz val="10"/>
            <rFont val="Arial"/>
            <family val="2"/>
          </rPr>
          <t xml:space="preserve">Prismodellen: ca. 250 timer forvaltning, 150 000–200 000.</t>
        </r>
      </text>
    </comment>
    <comment ref="A21" authorId="0">
      <text>
        <r>
          <rPr>
            <sz val="10"/>
            <rFont val="Arial"/>
            <family val="2"/>
          </rPr>
          <t xml:space="preserve">Infrastruktur 63–135k + forvaltning 150–200k. Skal ikke sendes.</t>
        </r>
      </text>
    </comment>
    <comment ref="A24" authorId="0">
      <text>
        <r>
          <rPr>
            <sz val="10"/>
            <rFont val="Arial"/>
            <family val="2"/>
          </rPr>
          <t xml:space="preserve">Gap-analysen: 360–520 timer.</t>
        </r>
      </text>
    </comment>
    <comment ref="A44" authorId="0">
      <text>
        <r>
          <rPr>
            <sz val="10"/>
            <rFont val="Arial"/>
            <family val="2"/>
          </rPr>
          <t xml:space="preserve">Danmark: «Statistik» ca. 200 000–275 000 NOK/år 2020–22. Se 10_KONKURRENT_PRISER.md.</t>
        </r>
      </text>
    </comment>
    <comment ref="A47" authorId="0">
      <text>
        <r>
          <rPr>
            <sz val="10"/>
            <rFont val="Arial"/>
            <family val="2"/>
          </rPr>
          <t xml:space="preserve">Venstre: mot høy kostnad. Høyre: mot lav kostnad.</t>
        </r>
      </text>
    </comment>
  </commentList>
</comments>
</file>

<file path=xl/sharedStrings.xml><?xml version="1.0" encoding="utf-8"?>
<sst xmlns="http://schemas.openxmlformats.org/spreadsheetml/2006/main" count="48" uniqueCount="42">
  <si>
    <t xml:space="preserve">Prisanslag til NFIF · statistikkplattform</t>
  </si>
  <si>
    <t xml:space="preserve">Gule celler med blå tekst kan endres. Resten regnes ut. Alle beløp eks. mva.</t>
  </si>
  <si>
    <t xml:space="preserve">1. Nasjonal banestatistikk · etablering</t>
  </si>
  <si>
    <t xml:space="preserve">Det som finnes</t>
  </si>
  <si>
    <t xml:space="preserve">Plattform og datagrunnlag, overført til NFIF</t>
  </si>
  <si>
    <t xml:space="preserve">Det som mangler</t>
  </si>
  <si>
    <t xml:space="preserve">Masters: femårsklasser, WMA-regler og rekorder</t>
  </si>
  <si>
    <t xml:space="preserve">Eldre statistikk: opphenting og kontroll</t>
  </si>
  <si>
    <t xml:space="preserve">Dokumentasjon, DPIA og databehandleravtale</t>
  </si>
  <si>
    <t xml:space="preserve">Minstekrav i kravspekken §22 som ikke er bygget</t>
  </si>
  <si>
    <t xml:space="preserve">Kvalitetsnivå A/B/C for resultater</t>
  </si>
  <si>
    <t xml:space="preserve">Dokumentert API</t>
  </si>
  <si>
    <t xml:space="preserve">Kretsstatistikk (krever klubb-til-krets fra NFIF)</t>
  </si>
  <si>
    <t xml:space="preserve">Sum etablering banestatistikk</t>
  </si>
  <si>
    <t xml:space="preserve">2. Nasjonal banestatistikk · årlig</t>
  </si>
  <si>
    <t xml:space="preserve">Drift i EU/EØS, overvåking og sikkerhetskopi</t>
  </si>
  <si>
    <t xml:space="preserve">Registrering av resultater og vedlikehold av basen</t>
  </si>
  <si>
    <t xml:space="preserve">Sum årlig banestatistikk</t>
  </si>
  <si>
    <t xml:space="preserve">   Kostnad i prismodellen, lav og høy</t>
  </si>
  <si>
    <t xml:space="preserve">3. Gateløp · separat pris</t>
  </si>
  <si>
    <t xml:space="preserve">Lav</t>
  </si>
  <si>
    <t xml:space="preserve">Høy</t>
  </si>
  <si>
    <t xml:space="preserve">Etablering, etter kartlegging av tidtakernes data</t>
  </si>
  <si>
    <t xml:space="preserve">Årlig registrering og vedlikehold</t>
  </si>
  <si>
    <t xml:space="preserve">4. Tillegg, bestilles ved behov</t>
  </si>
  <si>
    <t xml:space="preserve">Integrasjon mot eksternt system, per system</t>
  </si>
  <si>
    <t xml:space="preserve">Aktivitetsmodul og dashbord for forbund og kretser</t>
  </si>
  <si>
    <t xml:space="preserve">Analyse per år: to mesterskapspakker og én årsrapport</t>
  </si>
  <si>
    <t xml:space="preserve">Timepris, utvikling</t>
  </si>
  <si>
    <t xml:space="preserve">Timepris, analyse og utredning</t>
  </si>
  <si>
    <t xml:space="preserve">5. Samlet over fem år</t>
  </si>
  <si>
    <t xml:space="preserve">Antall driftsår</t>
  </si>
  <si>
    <t xml:space="preserve">Integrasjoner i scenario C</t>
  </si>
  <si>
    <t xml:space="preserve">A. Banestatistikk</t>
  </si>
  <si>
    <t xml:space="preserve">B. Banestatistikk og gateløp</t>
  </si>
  <si>
    <t xml:space="preserve">C. B + analyse, aktivitetsmodul og integrasjoner</t>
  </si>
  <si>
    <t xml:space="preserve">Før KPI-regulering fra år fire.</t>
  </si>
  <si>
    <t xml:space="preserve">6. Til sammenligning (skal ikke sendes)</t>
  </si>
  <si>
    <t xml:space="preserve">Tilastopaja-nivå per år, anslag</t>
  </si>
  <si>
    <t xml:space="preserve">Tilastopaja-nivå over fem år</t>
  </si>
  <si>
    <t xml:space="preserve">Vår årspris banestatistikk</t>
  </si>
  <si>
    <t xml:space="preserve">Margin per år på banestatistikk mot kostnad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</si>
</sst>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kr&quot;;\-#,##0&quot; kr&quot;;\-"/>
    <numFmt numFmtId="166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192E5D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92E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4" t="s">
        <v>4</v>
      </c>
      <c r="B6" s="5" t="n">
        <v>250000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4" t="s">
        <v>6</v>
      </c>
      <c r="B8" s="5" t="n">
        <v>100000</v>
      </c>
    </row>
    <row r="9" customFormat="false" ht="15" hidden="false" customHeight="false" outlineLevel="0" collapsed="false">
      <c r="A9" s="4" t="s">
        <v>7</v>
      </c>
      <c r="B9" s="5" t="n">
        <v>200000</v>
      </c>
    </row>
    <row r="10" customFormat="false" ht="15" hidden="false" customHeight="false" outlineLevel="0" collapsed="false">
      <c r="A10" s="4" t="s">
        <v>8</v>
      </c>
      <c r="B10" s="5" t="n">
        <v>80000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4" t="s">
        <v>10</v>
      </c>
      <c r="B12" s="5" t="n">
        <v>140000</v>
      </c>
    </row>
    <row r="13" customFormat="false" ht="15" hidden="false" customHeight="false" outlineLevel="0" collapsed="false">
      <c r="A13" s="4" t="s">
        <v>11</v>
      </c>
      <c r="B13" s="5" t="n">
        <v>140000</v>
      </c>
    </row>
    <row r="14" customFormat="false" ht="15" hidden="false" customHeight="false" outlineLevel="0" collapsed="false">
      <c r="A14" s="4" t="s">
        <v>12</v>
      </c>
      <c r="B14" s="5" t="n">
        <v>70000</v>
      </c>
    </row>
    <row r="15" customFormat="false" ht="15" hidden="false" customHeight="false" outlineLevel="0" collapsed="false">
      <c r="A15" s="6" t="s">
        <v>13</v>
      </c>
      <c r="B15" s="7" t="n">
        <f aca="false">B6+SUM(B8:B10)+SUM(B12:B14)</f>
        <v>980000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4" t="s">
        <v>15</v>
      </c>
      <c r="B18" s="5" t="n">
        <v>90000</v>
      </c>
    </row>
    <row r="19" customFormat="false" ht="15" hidden="false" customHeight="false" outlineLevel="0" collapsed="false">
      <c r="A19" s="4" t="s">
        <v>16</v>
      </c>
      <c r="B19" s="5" t="n">
        <v>200000</v>
      </c>
    </row>
    <row r="20" customFormat="false" ht="15" hidden="false" customHeight="false" outlineLevel="0" collapsed="false">
      <c r="A20" s="6" t="s">
        <v>17</v>
      </c>
      <c r="B20" s="7" t="n">
        <f aca="false">B18+B19</f>
        <v>290000</v>
      </c>
    </row>
    <row r="21" customFormat="false" ht="15" hidden="false" customHeight="false" outlineLevel="0" collapsed="false">
      <c r="A21" s="4" t="s">
        <v>18</v>
      </c>
      <c r="B21" s="5" t="n">
        <v>213000</v>
      </c>
      <c r="C21" s="5" t="n">
        <v>335000</v>
      </c>
    </row>
    <row r="23" customFormat="false" ht="15" hidden="false" customHeight="false" outlineLevel="0" collapsed="false">
      <c r="A23" s="3" t="s">
        <v>19</v>
      </c>
      <c r="B23" s="8" t="s">
        <v>20</v>
      </c>
      <c r="C23" s="8" t="s">
        <v>21</v>
      </c>
    </row>
    <row r="24" customFormat="false" ht="15" hidden="false" customHeight="false" outlineLevel="0" collapsed="false">
      <c r="A24" s="4" t="s">
        <v>22</v>
      </c>
      <c r="B24" s="5" t="n">
        <v>450000</v>
      </c>
      <c r="C24" s="5" t="n">
        <v>600000</v>
      </c>
    </row>
    <row r="25" customFormat="false" ht="15" hidden="false" customHeight="false" outlineLevel="0" collapsed="false">
      <c r="A25" s="4" t="s">
        <v>23</v>
      </c>
      <c r="B25" s="5" t="n">
        <v>100000</v>
      </c>
      <c r="C25" s="5" t="n">
        <v>100000</v>
      </c>
    </row>
    <row r="27" customFormat="false" ht="15" hidden="false" customHeight="false" outlineLevel="0" collapsed="false">
      <c r="A27" s="3" t="s">
        <v>24</v>
      </c>
      <c r="B27" s="8" t="s">
        <v>20</v>
      </c>
      <c r="C27" s="8" t="s">
        <v>21</v>
      </c>
    </row>
    <row r="28" customFormat="false" ht="15" hidden="false" customHeight="false" outlineLevel="0" collapsed="false">
      <c r="A28" s="4" t="s">
        <v>25</v>
      </c>
      <c r="B28" s="5" t="n">
        <v>90000</v>
      </c>
      <c r="C28" s="5" t="n">
        <v>150000</v>
      </c>
    </row>
    <row r="29" customFormat="false" ht="15" hidden="false" customHeight="false" outlineLevel="0" collapsed="false">
      <c r="A29" s="4" t="s">
        <v>26</v>
      </c>
      <c r="B29" s="5" t="n">
        <v>200000</v>
      </c>
      <c r="C29" s="5" t="n">
        <v>300000</v>
      </c>
    </row>
    <row r="30" customFormat="false" ht="15" hidden="false" customHeight="false" outlineLevel="0" collapsed="false">
      <c r="A30" s="4" t="s">
        <v>27</v>
      </c>
      <c r="B30" s="5" t="n">
        <v>80000</v>
      </c>
      <c r="C30" s="5" t="n">
        <v>80000</v>
      </c>
    </row>
    <row r="31" customFormat="false" ht="15" hidden="false" customHeight="false" outlineLevel="0" collapsed="false">
      <c r="A31" s="4" t="s">
        <v>28</v>
      </c>
      <c r="B31" s="5" t="n">
        <v>950</v>
      </c>
    </row>
    <row r="32" customFormat="false" ht="15" hidden="false" customHeight="false" outlineLevel="0" collapsed="false">
      <c r="A32" s="4" t="s">
        <v>29</v>
      </c>
      <c r="B32" s="5" t="n">
        <v>1100</v>
      </c>
    </row>
    <row r="34" customFormat="false" ht="15" hidden="false" customHeight="false" outlineLevel="0" collapsed="false">
      <c r="A34" s="3" t="s">
        <v>30</v>
      </c>
    </row>
    <row r="35" customFormat="false" ht="15" hidden="false" customHeight="false" outlineLevel="0" collapsed="false">
      <c r="A35" s="4" t="s">
        <v>31</v>
      </c>
      <c r="B35" s="9" t="n">
        <v>5</v>
      </c>
    </row>
    <row r="36" customFormat="false" ht="15" hidden="false" customHeight="false" outlineLevel="0" collapsed="false">
      <c r="A36" s="4" t="s">
        <v>32</v>
      </c>
      <c r="B36" s="9" t="n">
        <v>2</v>
      </c>
    </row>
    <row r="37" customFormat="false" ht="15" hidden="false" customHeight="false" outlineLevel="0" collapsed="false">
      <c r="B37" s="8" t="s">
        <v>20</v>
      </c>
      <c r="C37" s="8" t="s">
        <v>21</v>
      </c>
    </row>
    <row r="38" customFormat="false" ht="15" hidden="false" customHeight="false" outlineLevel="0" collapsed="false">
      <c r="A38" s="6" t="s">
        <v>33</v>
      </c>
      <c r="B38" s="10" t="n">
        <f aca="false">B15+B35*B20</f>
        <v>2430000</v>
      </c>
      <c r="C38" s="10" t="n">
        <f aca="false">B15+B35*B20</f>
        <v>2430000</v>
      </c>
    </row>
    <row r="39" customFormat="false" ht="15" hidden="false" customHeight="false" outlineLevel="0" collapsed="false">
      <c r="A39" s="6" t="s">
        <v>34</v>
      </c>
      <c r="B39" s="10" t="n">
        <f aca="false">B38+B24+B35*B25</f>
        <v>3380000</v>
      </c>
      <c r="C39" s="10" t="n">
        <f aca="false">C38+C24+B35*C25</f>
        <v>3530000</v>
      </c>
    </row>
    <row r="40" customFormat="false" ht="15" hidden="false" customHeight="false" outlineLevel="0" collapsed="false">
      <c r="A40" s="6" t="s">
        <v>35</v>
      </c>
      <c r="B40" s="10" t="n">
        <f aca="false">B39+B35*B30+B29+B36*B28</f>
        <v>4160000</v>
      </c>
      <c r="C40" s="10" t="n">
        <f aca="false">C39+B35*C30+C29+B36*C28</f>
        <v>4530000</v>
      </c>
    </row>
    <row r="41" customFormat="false" ht="15" hidden="false" customHeight="false" outlineLevel="0" collapsed="false">
      <c r="A41" s="2" t="s">
        <v>36</v>
      </c>
    </row>
    <row r="43" customFormat="false" ht="15" hidden="false" customHeight="false" outlineLevel="0" collapsed="false">
      <c r="A43" s="3" t="s">
        <v>37</v>
      </c>
      <c r="B43" s="8" t="s">
        <v>20</v>
      </c>
      <c r="C43" s="8" t="s">
        <v>21</v>
      </c>
    </row>
    <row r="44" customFormat="false" ht="15" hidden="false" customHeight="false" outlineLevel="0" collapsed="false">
      <c r="A44" s="4" t="s">
        <v>38</v>
      </c>
      <c r="B44" s="5" t="n">
        <v>150000</v>
      </c>
      <c r="C44" s="5" t="n">
        <v>300000</v>
      </c>
    </row>
    <row r="45" customFormat="false" ht="15" hidden="false" customHeight="false" outlineLevel="0" collapsed="false">
      <c r="A45" s="4" t="s">
        <v>39</v>
      </c>
      <c r="B45" s="11" t="n">
        <f aca="false">B44*B35</f>
        <v>750000</v>
      </c>
      <c r="C45" s="11" t="n">
        <f aca="false">C44*B35</f>
        <v>1500000</v>
      </c>
    </row>
    <row r="46" customFormat="false" ht="15" hidden="false" customHeight="false" outlineLevel="0" collapsed="false">
      <c r="A46" s="4" t="s">
        <v>40</v>
      </c>
      <c r="B46" s="11" t="n">
        <f aca="false">B20</f>
        <v>290000</v>
      </c>
      <c r="C46" s="11" t="n">
        <f aca="false">B20</f>
        <v>290000</v>
      </c>
    </row>
    <row r="47" customFormat="false" ht="15" hidden="false" customHeight="false" outlineLevel="0" collapsed="false">
      <c r="A47" s="4" t="s">
        <v>41</v>
      </c>
      <c r="B47" s="11" t="n">
        <f aca="false">B20-C21</f>
        <v>-45000</v>
      </c>
      <c r="C47" s="11" t="n">
        <f aca="false">B20-B21</f>
        <v>77000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2026-09-27T20:14:16Z</dcterms:created>
  <dc:creator>openpyxl</dc:creator>
  <dc:description/>
  <dc:language>nb-NO</dc:language>
  <cp:lastModifiedBy/>
  <dcterms:modified xsi:type="dcterms:W3CDTF">2026-09-27T20:14:16Z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